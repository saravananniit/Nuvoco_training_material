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it-my.sharepoint.com/personal/saravanan_1_p_in_niit_com/Documents/Desktop/Training_plan/"/>
    </mc:Choice>
  </mc:AlternateContent>
  <xr:revisionPtr revIDLastSave="566" documentId="8_{C2F60731-1226-492D-BDAB-A99ED6E0A16F}" xr6:coauthVersionLast="47" xr6:coauthVersionMax="47" xr10:uidLastSave="{1FFE0CB0-A62A-4061-95DB-0B714B15C302}"/>
  <bookViews>
    <workbookView xWindow="-110" yWindow="-110" windowWidth="19420" windowHeight="10300" xr2:uid="{CDB27224-E0B1-4605-A54D-1C259D7A4A2D}"/>
  </bookViews>
  <sheets>
    <sheet name="Training_calendar" sheetId="7" r:id="rId1"/>
    <sheet name="Course1" sheetId="2" r:id="rId2"/>
    <sheet name="Course2" sheetId="3" r:id="rId3"/>
    <sheet name="Course3" sheetId="4" r:id="rId4"/>
    <sheet name="software" sheetId="1" r:id="rId5"/>
    <sheet name="Cloud Lab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7" l="1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D13" i="3"/>
  <c r="D13" i="4"/>
</calcChain>
</file>

<file path=xl/sharedStrings.xml><?xml version="1.0" encoding="utf-8"?>
<sst xmlns="http://schemas.openxmlformats.org/spreadsheetml/2006/main" count="292" uniqueCount="203">
  <si>
    <t>Sprint #</t>
  </si>
  <si>
    <t>Create Structured Data Models with Classes and Pydantic</t>
  </si>
  <si>
    <t>Manage Files, Handle Errors, and Implement Logging</t>
  </si>
  <si>
    <t>Call LLM APIs and Process Responses</t>
  </si>
  <si>
    <t>Develop and Document REST API Endpoints</t>
  </si>
  <si>
    <t>Write and Execute Tests for Your APIs</t>
  </si>
  <si>
    <t>Implement Real-Time Communication Across Protocols</t>
  </si>
  <si>
    <t>Enhance Code, Tests, and Documentation Using AI Tools</t>
  </si>
  <si>
    <t>Project</t>
  </si>
  <si>
    <t>Build AI Agents with No Code</t>
  </si>
  <si>
    <t>Configure and Call LLM APIs with LangChain</t>
  </si>
  <si>
    <t>Create Multi-Step LLM Chains with LCEL</t>
  </si>
  <si>
    <t>Implement Short-Term Memory for Multi-Turn Conversations</t>
  </si>
  <si>
    <t>Build Agent Frontends</t>
  </si>
  <si>
    <t>Implement User Authentication and Authorization</t>
  </si>
  <si>
    <t>Observe AGent Workflows Langfuse Observability</t>
  </si>
  <si>
    <t>Build Conversational Agent on Cloud</t>
  </si>
  <si>
    <t xml:space="preserve">Setup Infrastructure for a RAG Solution </t>
  </si>
  <si>
    <t>Build RAG Ingestion Pipeline with LangChain</t>
  </si>
  <si>
    <t>Build RAG Query Pipeline with LangChain</t>
  </si>
  <si>
    <t xml:space="preserve"> Implement Advanced Document Processing with LlammaIndex</t>
  </si>
  <si>
    <t xml:space="preserve"> Implement Multi-Modal Content Processing with LlamaIndex</t>
  </si>
  <si>
    <t>Add Human Handoff with Context Transfer</t>
  </si>
  <si>
    <t>Libraries</t>
  </si>
  <si>
    <t>Version</t>
  </si>
  <si>
    <t>langchain</t>
  </si>
  <si>
    <t>==1.0.0</t>
  </si>
  <si>
    <t>langchain-openapi</t>
  </si>
  <si>
    <t>langchain-core</t>
  </si>
  <si>
    <t>==1.0.1</t>
  </si>
  <si>
    <t>langchain-community</t>
  </si>
  <si>
    <t>==0.4.1</t>
  </si>
  <si>
    <t xml:space="preserve">    langchain-text-splitters</t>
  </si>
  <si>
    <t xml:space="preserve">==1.0.0
</t>
  </si>
  <si>
    <t>requests</t>
  </si>
  <si>
    <t>==2.32.5</t>
  </si>
  <si>
    <t>python-dotenv</t>
  </si>
  <si>
    <t>==1.2.1</t>
  </si>
  <si>
    <t>langfuse</t>
  </si>
  <si>
    <t>==3.9.1</t>
  </si>
  <si>
    <t>python-jose[cryptography]</t>
  </si>
  <si>
    <t>==3.5.0</t>
  </si>
  <si>
    <t>FastAPI</t>
  </si>
  <si>
    <t>==0.121.0</t>
  </si>
  <si>
    <t>pydantic</t>
  </si>
  <si>
    <t>==2.12.4</t>
  </si>
  <si>
    <t>uvicorn[standard]</t>
  </si>
  <si>
    <t>==0.38.0</t>
  </si>
  <si>
    <t>langchain_postgres</t>
  </si>
  <si>
    <t>==0.0.16</t>
  </si>
  <si>
    <t>psycopg2-binary</t>
  </si>
  <si>
    <t>==2.9.11</t>
  </si>
  <si>
    <t>pypdf</t>
  </si>
  <si>
    <t>==6.2.0</t>
  </si>
  <si>
    <t xml:space="preserve">    beautifulsoup4</t>
  </si>
  <si>
    <t xml:space="preserve"> ==4.14.2
</t>
  </si>
  <si>
    <t>Postgres</t>
  </si>
  <si>
    <t>Course Number</t>
  </si>
  <si>
    <t>Course Title</t>
  </si>
  <si>
    <t>Required Services</t>
  </si>
  <si>
    <t>C1</t>
  </si>
  <si>
    <t>Python Essentials for Build</t>
  </si>
  <si>
    <t>C2</t>
  </si>
  <si>
    <t>Deploy Intelligent Conver…</t>
  </si>
  <si>
    <t>C3</t>
  </si>
  <si>
    <t>Build RAG Systems</t>
  </si>
  <si>
    <t>Ref from portal</t>
  </si>
  <si>
    <t>Sprint 5</t>
  </si>
  <si>
    <t>Sprint 7</t>
  </si>
  <si>
    <t>Sprint 6</t>
  </si>
  <si>
    <t>Sprint 8</t>
  </si>
  <si>
    <t>Sprint 9</t>
  </si>
  <si>
    <t>Sprint 10</t>
  </si>
  <si>
    <t>Sprint 11</t>
  </si>
  <si>
    <t>Sprint 4</t>
  </si>
  <si>
    <t>Configure Python Environment and Execute Your First Script &amp; Process and Manipultate Data with Python Structures</t>
  </si>
  <si>
    <t>Process and Manipulate Data with Python Structures &amp; Build Reusable Functions and Modular Code</t>
  </si>
  <si>
    <t>Sprint 2 &amp; Sprint 3</t>
  </si>
  <si>
    <t>Sprint 1 &amp; Sprint 2</t>
  </si>
  <si>
    <t>Ref from Portal</t>
  </si>
  <si>
    <t>Agent Architecture and Patterns &amp; Manage Prompts for Agents</t>
  </si>
  <si>
    <t>Manage Prompts for Agents &amp; Enable Tool Calling for Agents</t>
  </si>
  <si>
    <t>Sprint 3</t>
  </si>
  <si>
    <t>Sprint 1</t>
  </si>
  <si>
    <t>Sprint 2</t>
  </si>
  <si>
    <t>Sprint 3 &amp; Sprint 4</t>
  </si>
  <si>
    <t>NA</t>
  </si>
  <si>
    <t>Dcoument Loading &amp; Ingestion</t>
  </si>
  <si>
    <t>Implement Secure Agentic RAG with Guardrails, Augment LLM Knowledge with Structured Data (SQL), Integrate External Systems with the Model Context Protocol (MCP)</t>
  </si>
  <si>
    <t>Sprint 6, 7, 8</t>
  </si>
  <si>
    <t>Total</t>
  </si>
  <si>
    <t>Hrs</t>
  </si>
  <si>
    <t>4 hrs Capstone Project</t>
  </si>
  <si>
    <t>11 Sprints</t>
  </si>
  <si>
    <t>9 Sprints</t>
  </si>
  <si>
    <t>IDE</t>
  </si>
  <si>
    <t>Vscode</t>
  </si>
  <si>
    <t>pgAdmin 4</t>
  </si>
  <si>
    <t>Track 02 — Conversational Bots &amp; Agents</t>
  </si>
  <si>
    <t>Track 01 — AI-Assisted Programming with Python</t>
  </si>
  <si>
    <t>Track 03 — RAG Systems</t>
  </si>
  <si>
    <t>18.x</t>
  </si>
  <si>
    <t>Free Cloud</t>
  </si>
  <si>
    <t>Vercel</t>
  </si>
  <si>
    <t>Free Cloud DataBase</t>
  </si>
  <si>
    <t>Neon</t>
  </si>
  <si>
    <t>Observability</t>
  </si>
  <si>
    <t>Langfuse</t>
  </si>
  <si>
    <t>Repository</t>
  </si>
  <si>
    <t>GitHub</t>
  </si>
  <si>
    <t>Low Code No code</t>
  </si>
  <si>
    <t>Langflow</t>
  </si>
  <si>
    <t>Git Lab</t>
  </si>
  <si>
    <t>Streamlit community</t>
  </si>
  <si>
    <t>Programming language</t>
  </si>
  <si>
    <t>Python 3.12+ (or Python ≥ 3.12)</t>
  </si>
  <si>
    <t>Database Administration</t>
  </si>
  <si>
    <t>Application Development</t>
  </si>
  <si>
    <t>Streamlit, FastAPI, Flask, React</t>
  </si>
  <si>
    <t>Free LLM Models / Providers</t>
  </si>
  <si>
    <t>Ollama, Groq, Gemini, Hugging Face (HF)</t>
  </si>
  <si>
    <t>AI Framework / SDK</t>
  </si>
  <si>
    <t>Category</t>
  </si>
  <si>
    <t>Tools/Technologies</t>
  </si>
  <si>
    <t>40 hrs Learning + Practice</t>
  </si>
  <si>
    <t>Prepare LLM for deployment in cloud</t>
  </si>
  <si>
    <t>32 hrs Learning + Practice</t>
  </si>
  <si>
    <t>Session</t>
  </si>
  <si>
    <t>Date</t>
  </si>
  <si>
    <t>Day</t>
  </si>
  <si>
    <t>Lecture hrs</t>
  </si>
  <si>
    <t>Time (Lecture)</t>
  </si>
  <si>
    <t>Lab (as per learner convenience)</t>
  </si>
  <si>
    <t>Total Hrs</t>
  </si>
  <si>
    <t>05-Aug-2026</t>
  </si>
  <si>
    <t>Wednesday</t>
  </si>
  <si>
    <t>3:00 PM - 5:00 PM</t>
  </si>
  <si>
    <t>07-Aug-2026</t>
  </si>
  <si>
    <t>Friday</t>
  </si>
  <si>
    <t>12-Aug-2026</t>
  </si>
  <si>
    <t>14-Aug-2026</t>
  </si>
  <si>
    <t>19-Aug-2026</t>
  </si>
  <si>
    <t>21-Aug-2026</t>
  </si>
  <si>
    <t>26-Aug-2026</t>
  </si>
  <si>
    <t>28-Aug-2026</t>
  </si>
  <si>
    <t>02-Sep-2026</t>
  </si>
  <si>
    <t>04-Sep-2026</t>
  </si>
  <si>
    <t>09-Sep-2026</t>
  </si>
  <si>
    <t>11-Sep-2026</t>
  </si>
  <si>
    <t>16-Sep-2026</t>
  </si>
  <si>
    <t>18-Sep-2026</t>
  </si>
  <si>
    <t>23-Sep-2026</t>
  </si>
  <si>
    <t>25-Sep-2026</t>
  </si>
  <si>
    <t>30-Sep-2026</t>
  </si>
  <si>
    <t>02-Oct-2026</t>
  </si>
  <si>
    <t>07-Oct-2026</t>
  </si>
  <si>
    <t>09-Oct-2026</t>
  </si>
  <si>
    <t>14-Oct-2026</t>
  </si>
  <si>
    <t>16-Oct-2026</t>
  </si>
  <si>
    <t>21-Oct-2026</t>
  </si>
  <si>
    <t>23-Oct-2026</t>
  </si>
  <si>
    <t>28-Oct-2026</t>
  </si>
  <si>
    <t>30-Oct-2026</t>
  </si>
  <si>
    <t>04-Nov-2026</t>
  </si>
  <si>
    <t>06-Nov-2026</t>
  </si>
  <si>
    <t>11-Nov-2026</t>
  </si>
  <si>
    <t>13-Nov-2026</t>
  </si>
  <si>
    <t>18-Nov-2026</t>
  </si>
  <si>
    <t>Course 1 - Sprint 1</t>
  </si>
  <si>
    <t>Course 2 - Sprint 2</t>
  </si>
  <si>
    <t>Course 3 - Sprint 3</t>
  </si>
  <si>
    <t>Course 1 - Sprint 2</t>
  </si>
  <si>
    <t>Course 1 - Sprint 3</t>
  </si>
  <si>
    <t>Course 1 - Sprint 4</t>
  </si>
  <si>
    <t>Course 1 - Sprint 5</t>
  </si>
  <si>
    <t>Course 1 - Sprint 6</t>
  </si>
  <si>
    <t>Course 1 - Sprint 7</t>
  </si>
  <si>
    <t>Course 1 - Sprint 8</t>
  </si>
  <si>
    <t>Course 1 - Sprint 9</t>
  </si>
  <si>
    <t>Course 1 - Sprint 10</t>
  </si>
  <si>
    <t>Course 1 - Sprint 11</t>
  </si>
  <si>
    <t>Course 2 - Sprint 1</t>
  </si>
  <si>
    <t>Course 2 - Sprint 3</t>
  </si>
  <si>
    <t>Course 2 - Sprint 4</t>
  </si>
  <si>
    <t>Course 3 - Sprint 5</t>
  </si>
  <si>
    <t>Course 2 - Sprint 5</t>
  </si>
  <si>
    <t>Course 3 - Sprint 6</t>
  </si>
  <si>
    <t>Course 2 - Sprint 6</t>
  </si>
  <si>
    <t>Course 2 - Sprint 7</t>
  </si>
  <si>
    <t>Course 2 - Sprint 8</t>
  </si>
  <si>
    <t>Course 2 - Sprint 9</t>
  </si>
  <si>
    <t>Course 2 - Sprint 10</t>
  </si>
  <si>
    <t>Course 2 - Sprint 11</t>
  </si>
  <si>
    <t>Course 3 - Sprint 1</t>
  </si>
  <si>
    <t>Course 3 - Sprint 2</t>
  </si>
  <si>
    <t>Course 3 - Sprint 4</t>
  </si>
  <si>
    <t>Course 3 - Sprint 7</t>
  </si>
  <si>
    <t>Course 3 - Sprint 8</t>
  </si>
  <si>
    <t>Course 3 - Sprint 9</t>
  </si>
  <si>
    <t>OpenAI SDK, LangChain, LlamaIndex. LlamaParse</t>
  </si>
  <si>
    <t>Azure OpenAI (gpt-4o-mini/gpt-5-mini), Azure Text Embeddings (text-embedding-3-small)</t>
  </si>
  <si>
    <t>Azure AI Foundry, Azure OpenAI (gpt-4o-mini / gpt-5-mini),</t>
  </si>
  <si>
    <t>Milestone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</si>
</sst>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Display"/>
      <charset val="1"/>
    </font>
    <font>
      <sz val="11"/>
      <color theme="1"/>
      <name val="Aptos Display"/>
      <family val="1"/>
      <charset val="1"/>
    </font>
    <font>
      <sz val="11"/>
      <color theme="1"/>
      <name val="Aptos Narrow"/>
      <family val="2"/>
    </font>
    <font>
      <b/>
      <sz val="18"/>
      <color rgb="FFFFFFFF"/>
      <name val="Cambria"/>
      <family val="1"/>
    </font>
    <font>
      <sz val="10"/>
      <color theme="1"/>
      <name val="Arial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1" fillId="0" borderId="0" xfId="0" applyFont="1"/>
    <xf numFmtId="0" fontId="6" fillId="0" borderId="0" xfId="0" applyFont="1" applyAlignment="1">
      <alignment horizontal="left" vertical="center" readingOrder="1"/>
    </xf>
    <xf numFmtId="0" fontId="0" fillId="0" borderId="2" xfId="0" applyBorder="1"/>
    <xf numFmtId="0" fontId="7" fillId="0" borderId="1" xfId="0" applyFont="1" applyBorder="1"/>
    <xf numFmtId="0" fontId="7" fillId="0" borderId="1" xfId="0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6102-F23F-4AFC-A566-8A827AC134F4}">
  <dimension ref="A1:H32"/>
  <sheetViews>
    <sheetView tabSelected="1" workbookViewId="0">
      <selection activeCell="H5" sqref="H5"/>
    </sheetView>
  </sheetViews>
  <sheetFormatPr defaultRowHeight="14.5" x14ac:dyDescent="0.35"/>
  <cols>
    <col min="1" max="1" width="7" bestFit="1" customWidth="1"/>
    <col min="2" max="2" width="11.1796875" bestFit="1" customWidth="1"/>
    <col min="3" max="3" width="10.1796875" bestFit="1" customWidth="1"/>
    <col min="4" max="4" width="10.08984375" bestFit="1" customWidth="1"/>
    <col min="5" max="5" width="15.1796875" bestFit="1" customWidth="1"/>
    <col min="6" max="6" width="18" customWidth="1"/>
    <col min="8" max="8" width="16.54296875" bestFit="1" customWidth="1"/>
  </cols>
  <sheetData>
    <row r="1" spans="1:8" ht="24" customHeight="1" x14ac:dyDescent="0.35">
      <c r="A1" s="26" t="s">
        <v>127</v>
      </c>
      <c r="B1" s="26" t="s">
        <v>128</v>
      </c>
      <c r="C1" s="26" t="s">
        <v>129</v>
      </c>
      <c r="D1" s="26" t="s">
        <v>130</v>
      </c>
      <c r="E1" s="26" t="s">
        <v>131</v>
      </c>
      <c r="F1" s="26" t="s">
        <v>132</v>
      </c>
      <c r="G1" s="26" t="s">
        <v>133</v>
      </c>
      <c r="H1" s="26" t="s">
        <v>202</v>
      </c>
    </row>
    <row r="2" spans="1:8" x14ac:dyDescent="0.35">
      <c r="A2" s="11">
        <v>1</v>
      </c>
      <c r="B2" s="11" t="s">
        <v>134</v>
      </c>
      <c r="C2" s="11" t="s">
        <v>135</v>
      </c>
      <c r="D2" s="11">
        <v>2</v>
      </c>
      <c r="E2" s="11" t="s">
        <v>136</v>
      </c>
      <c r="F2" s="11">
        <v>2</v>
      </c>
      <c r="G2" s="19">
        <f t="shared" ref="G2:G32" si="0">F2+D2</f>
        <v>4</v>
      </c>
      <c r="H2" s="14" t="s">
        <v>168</v>
      </c>
    </row>
    <row r="3" spans="1:8" x14ac:dyDescent="0.35">
      <c r="A3" s="11">
        <v>2</v>
      </c>
      <c r="B3" s="11" t="s">
        <v>137</v>
      </c>
      <c r="C3" s="11" t="s">
        <v>138</v>
      </c>
      <c r="D3" s="11">
        <v>2</v>
      </c>
      <c r="E3" s="11" t="s">
        <v>136</v>
      </c>
      <c r="F3" s="11">
        <v>2</v>
      </c>
      <c r="G3" s="19">
        <f t="shared" si="0"/>
        <v>4</v>
      </c>
      <c r="H3" s="14" t="s">
        <v>171</v>
      </c>
    </row>
    <row r="4" spans="1:8" x14ac:dyDescent="0.35">
      <c r="A4" s="11">
        <v>3</v>
      </c>
      <c r="B4" s="11" t="s">
        <v>139</v>
      </c>
      <c r="C4" s="11" t="s">
        <v>135</v>
      </c>
      <c r="D4" s="11">
        <v>2</v>
      </c>
      <c r="E4" s="11" t="s">
        <v>136</v>
      </c>
      <c r="F4" s="11">
        <v>2</v>
      </c>
      <c r="G4" s="19">
        <f t="shared" si="0"/>
        <v>4</v>
      </c>
      <c r="H4" s="14" t="s">
        <v>172</v>
      </c>
    </row>
    <row r="5" spans="1:8" x14ac:dyDescent="0.35">
      <c r="A5" s="11">
        <v>4</v>
      </c>
      <c r="B5" s="11" t="s">
        <v>140</v>
      </c>
      <c r="C5" s="11" t="s">
        <v>138</v>
      </c>
      <c r="D5" s="11">
        <v>2</v>
      </c>
      <c r="E5" s="11" t="s">
        <v>136</v>
      </c>
      <c r="F5" s="11">
        <v>2</v>
      </c>
      <c r="G5" s="19">
        <f t="shared" si="0"/>
        <v>4</v>
      </c>
      <c r="H5" s="14" t="s">
        <v>173</v>
      </c>
    </row>
    <row r="6" spans="1:8" x14ac:dyDescent="0.35">
      <c r="A6" s="11">
        <v>5</v>
      </c>
      <c r="B6" s="11" t="s">
        <v>141</v>
      </c>
      <c r="C6" s="11" t="s">
        <v>135</v>
      </c>
      <c r="D6" s="11">
        <v>2</v>
      </c>
      <c r="E6" s="11" t="s">
        <v>136</v>
      </c>
      <c r="F6" s="11">
        <v>2</v>
      </c>
      <c r="G6" s="19">
        <f t="shared" si="0"/>
        <v>4</v>
      </c>
      <c r="H6" s="14" t="s">
        <v>174</v>
      </c>
    </row>
    <row r="7" spans="1:8" x14ac:dyDescent="0.35">
      <c r="A7" s="11">
        <v>6</v>
      </c>
      <c r="B7" s="11" t="s">
        <v>142</v>
      </c>
      <c r="C7" s="11" t="s">
        <v>138</v>
      </c>
      <c r="D7" s="11">
        <v>2</v>
      </c>
      <c r="E7" s="11" t="s">
        <v>136</v>
      </c>
      <c r="F7" s="11">
        <v>2</v>
      </c>
      <c r="G7" s="19">
        <f t="shared" si="0"/>
        <v>4</v>
      </c>
      <c r="H7" s="14" t="s">
        <v>175</v>
      </c>
    </row>
    <row r="8" spans="1:8" x14ac:dyDescent="0.35">
      <c r="A8" s="11">
        <v>7</v>
      </c>
      <c r="B8" s="11" t="s">
        <v>143</v>
      </c>
      <c r="C8" s="11" t="s">
        <v>135</v>
      </c>
      <c r="D8" s="11">
        <v>2</v>
      </c>
      <c r="E8" s="11" t="s">
        <v>136</v>
      </c>
      <c r="F8" s="11">
        <v>2</v>
      </c>
      <c r="G8" s="19">
        <f t="shared" si="0"/>
        <v>4</v>
      </c>
      <c r="H8" s="14" t="s">
        <v>176</v>
      </c>
    </row>
    <row r="9" spans="1:8" x14ac:dyDescent="0.35">
      <c r="A9" s="11">
        <v>8</v>
      </c>
      <c r="B9" s="11" t="s">
        <v>144</v>
      </c>
      <c r="C9" s="11" t="s">
        <v>138</v>
      </c>
      <c r="D9" s="11">
        <v>2</v>
      </c>
      <c r="E9" s="11" t="s">
        <v>136</v>
      </c>
      <c r="F9" s="11">
        <v>2</v>
      </c>
      <c r="G9" s="19">
        <f t="shared" si="0"/>
        <v>4</v>
      </c>
      <c r="H9" s="14" t="s">
        <v>177</v>
      </c>
    </row>
    <row r="10" spans="1:8" x14ac:dyDescent="0.35">
      <c r="A10" s="11">
        <v>9</v>
      </c>
      <c r="B10" s="11" t="s">
        <v>145</v>
      </c>
      <c r="C10" s="11" t="s">
        <v>135</v>
      </c>
      <c r="D10" s="11">
        <v>2</v>
      </c>
      <c r="E10" s="11" t="s">
        <v>136</v>
      </c>
      <c r="F10" s="11">
        <v>2</v>
      </c>
      <c r="G10" s="19">
        <f t="shared" si="0"/>
        <v>4</v>
      </c>
      <c r="H10" s="14" t="s">
        <v>178</v>
      </c>
    </row>
    <row r="11" spans="1:8" x14ac:dyDescent="0.35">
      <c r="A11" s="11">
        <v>10</v>
      </c>
      <c r="B11" s="11" t="s">
        <v>146</v>
      </c>
      <c r="C11" s="11" t="s">
        <v>138</v>
      </c>
      <c r="D11" s="11">
        <v>2</v>
      </c>
      <c r="E11" s="11" t="s">
        <v>136</v>
      </c>
      <c r="F11" s="11">
        <v>2</v>
      </c>
      <c r="G11" s="19">
        <f t="shared" si="0"/>
        <v>4</v>
      </c>
      <c r="H11" s="14" t="s">
        <v>179</v>
      </c>
    </row>
    <row r="12" spans="1:8" x14ac:dyDescent="0.35">
      <c r="A12" s="11">
        <v>11</v>
      </c>
      <c r="B12" s="11" t="s">
        <v>147</v>
      </c>
      <c r="C12" s="11" t="s">
        <v>135</v>
      </c>
      <c r="D12" s="11">
        <v>2</v>
      </c>
      <c r="E12" s="11" t="s">
        <v>136</v>
      </c>
      <c r="F12" s="11">
        <v>2</v>
      </c>
      <c r="G12" s="19">
        <f t="shared" si="0"/>
        <v>4</v>
      </c>
      <c r="H12" s="14" t="s">
        <v>180</v>
      </c>
    </row>
    <row r="13" spans="1:8" x14ac:dyDescent="0.35">
      <c r="A13" s="11">
        <v>12</v>
      </c>
      <c r="B13" s="11" t="s">
        <v>148</v>
      </c>
      <c r="C13" s="11" t="s">
        <v>138</v>
      </c>
      <c r="D13" s="11">
        <v>2</v>
      </c>
      <c r="E13" s="11" t="s">
        <v>136</v>
      </c>
      <c r="F13" s="11">
        <v>2</v>
      </c>
      <c r="G13" s="19">
        <f t="shared" si="0"/>
        <v>4</v>
      </c>
      <c r="H13" s="14" t="s">
        <v>181</v>
      </c>
    </row>
    <row r="14" spans="1:8" x14ac:dyDescent="0.35">
      <c r="A14" s="11">
        <v>13</v>
      </c>
      <c r="B14" s="11" t="s">
        <v>149</v>
      </c>
      <c r="C14" s="11" t="s">
        <v>135</v>
      </c>
      <c r="D14" s="11">
        <v>2</v>
      </c>
      <c r="E14" s="11" t="s">
        <v>136</v>
      </c>
      <c r="F14" s="11">
        <v>2</v>
      </c>
      <c r="G14" s="19">
        <f t="shared" si="0"/>
        <v>4</v>
      </c>
      <c r="H14" s="14" t="s">
        <v>169</v>
      </c>
    </row>
    <row r="15" spans="1:8" x14ac:dyDescent="0.35">
      <c r="A15" s="11">
        <v>14</v>
      </c>
      <c r="B15" s="11" t="s">
        <v>150</v>
      </c>
      <c r="C15" s="11" t="s">
        <v>138</v>
      </c>
      <c r="D15" s="11">
        <v>2</v>
      </c>
      <c r="E15" s="11" t="s">
        <v>136</v>
      </c>
      <c r="F15" s="11">
        <v>2</v>
      </c>
      <c r="G15" s="19">
        <f t="shared" si="0"/>
        <v>4</v>
      </c>
      <c r="H15" s="14" t="s">
        <v>182</v>
      </c>
    </row>
    <row r="16" spans="1:8" x14ac:dyDescent="0.35">
      <c r="A16" s="11">
        <v>15</v>
      </c>
      <c r="B16" s="11" t="s">
        <v>151</v>
      </c>
      <c r="C16" s="11" t="s">
        <v>135</v>
      </c>
      <c r="D16" s="11">
        <v>2</v>
      </c>
      <c r="E16" s="11" t="s">
        <v>136</v>
      </c>
      <c r="F16" s="11">
        <v>2</v>
      </c>
      <c r="G16" s="19">
        <f t="shared" si="0"/>
        <v>4</v>
      </c>
      <c r="H16" s="14" t="s">
        <v>183</v>
      </c>
    </row>
    <row r="17" spans="1:8" x14ac:dyDescent="0.35">
      <c r="A17" s="11">
        <v>16</v>
      </c>
      <c r="B17" s="11" t="s">
        <v>152</v>
      </c>
      <c r="C17" s="11" t="s">
        <v>138</v>
      </c>
      <c r="D17" s="11">
        <v>2</v>
      </c>
      <c r="E17" s="11" t="s">
        <v>136</v>
      </c>
      <c r="F17" s="11">
        <v>2</v>
      </c>
      <c r="G17" s="19">
        <f t="shared" si="0"/>
        <v>4</v>
      </c>
      <c r="H17" s="14" t="s">
        <v>185</v>
      </c>
    </row>
    <row r="18" spans="1:8" x14ac:dyDescent="0.35">
      <c r="A18" s="11">
        <v>17</v>
      </c>
      <c r="B18" s="11" t="s">
        <v>153</v>
      </c>
      <c r="C18" s="11" t="s">
        <v>135</v>
      </c>
      <c r="D18" s="11">
        <v>2</v>
      </c>
      <c r="E18" s="11" t="s">
        <v>136</v>
      </c>
      <c r="F18" s="11">
        <v>2</v>
      </c>
      <c r="G18" s="19">
        <f t="shared" si="0"/>
        <v>4</v>
      </c>
      <c r="H18" s="14" t="s">
        <v>187</v>
      </c>
    </row>
    <row r="19" spans="1:8" x14ac:dyDescent="0.35">
      <c r="A19" s="11">
        <v>18</v>
      </c>
      <c r="B19" s="11" t="s">
        <v>154</v>
      </c>
      <c r="C19" s="11" t="s">
        <v>138</v>
      </c>
      <c r="D19" s="11">
        <v>2</v>
      </c>
      <c r="E19" s="11" t="s">
        <v>136</v>
      </c>
      <c r="F19" s="11">
        <v>2</v>
      </c>
      <c r="G19" s="19">
        <f t="shared" si="0"/>
        <v>4</v>
      </c>
      <c r="H19" s="14" t="s">
        <v>188</v>
      </c>
    </row>
    <row r="20" spans="1:8" x14ac:dyDescent="0.35">
      <c r="A20" s="11">
        <v>19</v>
      </c>
      <c r="B20" s="11" t="s">
        <v>155</v>
      </c>
      <c r="C20" s="11" t="s">
        <v>135</v>
      </c>
      <c r="D20" s="11">
        <v>2</v>
      </c>
      <c r="E20" s="11" t="s">
        <v>136</v>
      </c>
      <c r="F20" s="11">
        <v>2</v>
      </c>
      <c r="G20" s="19">
        <f t="shared" si="0"/>
        <v>4</v>
      </c>
      <c r="H20" s="14" t="s">
        <v>189</v>
      </c>
    </row>
    <row r="21" spans="1:8" x14ac:dyDescent="0.35">
      <c r="A21" s="11">
        <v>20</v>
      </c>
      <c r="B21" s="11" t="s">
        <v>156</v>
      </c>
      <c r="C21" s="11" t="s">
        <v>138</v>
      </c>
      <c r="D21" s="11">
        <v>2</v>
      </c>
      <c r="E21" s="11" t="s">
        <v>136</v>
      </c>
      <c r="F21" s="11">
        <v>2</v>
      </c>
      <c r="G21" s="19">
        <f t="shared" si="0"/>
        <v>4</v>
      </c>
      <c r="H21" s="14" t="s">
        <v>190</v>
      </c>
    </row>
    <row r="22" spans="1:8" x14ac:dyDescent="0.35">
      <c r="A22" s="11">
        <v>21</v>
      </c>
      <c r="B22" s="11" t="s">
        <v>157</v>
      </c>
      <c r="C22" s="11" t="s">
        <v>135</v>
      </c>
      <c r="D22" s="11">
        <v>2</v>
      </c>
      <c r="E22" s="11" t="s">
        <v>136</v>
      </c>
      <c r="F22" s="11">
        <v>2</v>
      </c>
      <c r="G22" s="19">
        <f t="shared" si="0"/>
        <v>4</v>
      </c>
      <c r="H22" s="14" t="s">
        <v>191</v>
      </c>
    </row>
    <row r="23" spans="1:8" x14ac:dyDescent="0.35">
      <c r="A23" s="11">
        <v>22</v>
      </c>
      <c r="B23" s="11" t="s">
        <v>158</v>
      </c>
      <c r="C23" s="11" t="s">
        <v>138</v>
      </c>
      <c r="D23" s="11">
        <v>2</v>
      </c>
      <c r="E23" s="11" t="s">
        <v>136</v>
      </c>
      <c r="F23" s="11">
        <v>2</v>
      </c>
      <c r="G23" s="19">
        <f t="shared" si="0"/>
        <v>4</v>
      </c>
      <c r="H23" s="14" t="s">
        <v>192</v>
      </c>
    </row>
    <row r="24" spans="1:8" x14ac:dyDescent="0.35">
      <c r="A24" s="11">
        <v>23</v>
      </c>
      <c r="B24" s="11" t="s">
        <v>159</v>
      </c>
      <c r="C24" s="11" t="s">
        <v>135</v>
      </c>
      <c r="D24" s="11">
        <v>2</v>
      </c>
      <c r="E24" s="11" t="s">
        <v>136</v>
      </c>
      <c r="F24" s="11">
        <v>2</v>
      </c>
      <c r="G24" s="19">
        <f t="shared" si="0"/>
        <v>4</v>
      </c>
      <c r="H24" s="14" t="s">
        <v>193</v>
      </c>
    </row>
    <row r="25" spans="1:8" x14ac:dyDescent="0.35">
      <c r="A25" s="11">
        <v>24</v>
      </c>
      <c r="B25" s="11" t="s">
        <v>160</v>
      </c>
      <c r="C25" s="11" t="s">
        <v>138</v>
      </c>
      <c r="D25" s="11">
        <v>2</v>
      </c>
      <c r="E25" s="11" t="s">
        <v>136</v>
      </c>
      <c r="F25" s="11">
        <v>2</v>
      </c>
      <c r="G25" s="19">
        <f t="shared" si="0"/>
        <v>4</v>
      </c>
      <c r="H25" s="14" t="s">
        <v>194</v>
      </c>
    </row>
    <row r="26" spans="1:8" x14ac:dyDescent="0.35">
      <c r="A26" s="11">
        <v>25</v>
      </c>
      <c r="B26" s="11" t="s">
        <v>161</v>
      </c>
      <c r="C26" s="11" t="s">
        <v>135</v>
      </c>
      <c r="D26" s="11">
        <v>2</v>
      </c>
      <c r="E26" s="11" t="s">
        <v>136</v>
      </c>
      <c r="F26" s="11">
        <v>2</v>
      </c>
      <c r="G26" s="19">
        <f t="shared" si="0"/>
        <v>4</v>
      </c>
      <c r="H26" s="14" t="s">
        <v>170</v>
      </c>
    </row>
    <row r="27" spans="1:8" x14ac:dyDescent="0.35">
      <c r="A27" s="11">
        <v>26</v>
      </c>
      <c r="B27" s="11" t="s">
        <v>162</v>
      </c>
      <c r="C27" s="11" t="s">
        <v>138</v>
      </c>
      <c r="D27" s="11">
        <v>2</v>
      </c>
      <c r="E27" s="11" t="s">
        <v>136</v>
      </c>
      <c r="F27" s="11">
        <v>2</v>
      </c>
      <c r="G27" s="19">
        <f t="shared" si="0"/>
        <v>4</v>
      </c>
      <c r="H27" s="14" t="s">
        <v>195</v>
      </c>
    </row>
    <row r="28" spans="1:8" x14ac:dyDescent="0.35">
      <c r="A28" s="11">
        <v>27</v>
      </c>
      <c r="B28" s="11" t="s">
        <v>163</v>
      </c>
      <c r="C28" s="11" t="s">
        <v>135</v>
      </c>
      <c r="D28" s="11">
        <v>2</v>
      </c>
      <c r="E28" s="11" t="s">
        <v>136</v>
      </c>
      <c r="F28" s="11">
        <v>2</v>
      </c>
      <c r="G28" s="19">
        <f t="shared" si="0"/>
        <v>4</v>
      </c>
      <c r="H28" s="14" t="s">
        <v>184</v>
      </c>
    </row>
    <row r="29" spans="1:8" x14ac:dyDescent="0.35">
      <c r="A29" s="11">
        <v>28</v>
      </c>
      <c r="B29" s="11" t="s">
        <v>164</v>
      </c>
      <c r="C29" s="11" t="s">
        <v>138</v>
      </c>
      <c r="D29" s="11">
        <v>2</v>
      </c>
      <c r="E29" s="11" t="s">
        <v>136</v>
      </c>
      <c r="F29" s="11">
        <v>2</v>
      </c>
      <c r="G29" s="19">
        <f t="shared" si="0"/>
        <v>4</v>
      </c>
      <c r="H29" s="14" t="s">
        <v>186</v>
      </c>
    </row>
    <row r="30" spans="1:8" x14ac:dyDescent="0.35">
      <c r="A30" s="11">
        <v>29</v>
      </c>
      <c r="B30" s="11" t="s">
        <v>165</v>
      </c>
      <c r="C30" s="11" t="s">
        <v>135</v>
      </c>
      <c r="D30" s="11">
        <v>2</v>
      </c>
      <c r="E30" s="11" t="s">
        <v>136</v>
      </c>
      <c r="F30" s="11">
        <v>2</v>
      </c>
      <c r="G30" s="19">
        <f t="shared" si="0"/>
        <v>4</v>
      </c>
      <c r="H30" s="14" t="s">
        <v>196</v>
      </c>
    </row>
    <row r="31" spans="1:8" x14ac:dyDescent="0.35">
      <c r="A31" s="11">
        <v>30</v>
      </c>
      <c r="B31" s="11" t="s">
        <v>166</v>
      </c>
      <c r="C31" s="11" t="s">
        <v>138</v>
      </c>
      <c r="D31" s="11">
        <v>2</v>
      </c>
      <c r="E31" s="11" t="s">
        <v>136</v>
      </c>
      <c r="F31" s="11">
        <v>2</v>
      </c>
      <c r="G31" s="19">
        <f t="shared" si="0"/>
        <v>4</v>
      </c>
      <c r="H31" s="14" t="s">
        <v>197</v>
      </c>
    </row>
    <row r="32" spans="1:8" x14ac:dyDescent="0.35">
      <c r="A32" s="11">
        <v>31</v>
      </c>
      <c r="B32" s="11" t="s">
        <v>167</v>
      </c>
      <c r="C32" s="11" t="s">
        <v>135</v>
      </c>
      <c r="D32" s="11">
        <v>2</v>
      </c>
      <c r="E32" s="11" t="s">
        <v>136</v>
      </c>
      <c r="F32" s="11">
        <v>2</v>
      </c>
      <c r="G32" s="19">
        <f t="shared" si="0"/>
        <v>4</v>
      </c>
      <c r="H32" s="14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5C76A-DE53-4F55-BFD1-280B4428120A}">
  <dimension ref="A1:D17"/>
  <sheetViews>
    <sheetView workbookViewId="0">
      <selection activeCell="C11" sqref="C11"/>
    </sheetView>
  </sheetViews>
  <sheetFormatPr defaultRowHeight="14.5" x14ac:dyDescent="0.35"/>
  <cols>
    <col min="1" max="1" width="7.26953125" bestFit="1" customWidth="1"/>
    <col min="2" max="2" width="94.7265625" bestFit="1" customWidth="1"/>
    <col min="3" max="3" width="15" bestFit="1" customWidth="1"/>
  </cols>
  <sheetData>
    <row r="1" spans="1:4" x14ac:dyDescent="0.35">
      <c r="A1" s="1" t="s">
        <v>0</v>
      </c>
      <c r="B1" s="16" t="s">
        <v>99</v>
      </c>
      <c r="C1" s="16" t="s">
        <v>66</v>
      </c>
      <c r="D1" s="16" t="s">
        <v>91</v>
      </c>
    </row>
    <row r="2" spans="1:4" x14ac:dyDescent="0.35">
      <c r="A2" s="3">
        <v>1</v>
      </c>
      <c r="B2" s="3" t="s">
        <v>75</v>
      </c>
      <c r="C2" s="19" t="s">
        <v>78</v>
      </c>
      <c r="D2" s="19">
        <v>4</v>
      </c>
    </row>
    <row r="3" spans="1:4" x14ac:dyDescent="0.35">
      <c r="A3" s="3">
        <v>2</v>
      </c>
      <c r="B3" s="3" t="s">
        <v>76</v>
      </c>
      <c r="C3" s="19" t="s">
        <v>77</v>
      </c>
      <c r="D3" s="19">
        <v>4</v>
      </c>
    </row>
    <row r="4" spans="1:4" x14ac:dyDescent="0.35">
      <c r="A4" s="3">
        <v>3</v>
      </c>
      <c r="B4" s="3" t="s">
        <v>1</v>
      </c>
      <c r="C4" s="19" t="s">
        <v>74</v>
      </c>
      <c r="D4" s="19">
        <v>4</v>
      </c>
    </row>
    <row r="5" spans="1:4" x14ac:dyDescent="0.35">
      <c r="A5" s="3">
        <v>4</v>
      </c>
      <c r="B5" s="3" t="s">
        <v>2</v>
      </c>
      <c r="C5" s="19" t="s">
        <v>67</v>
      </c>
      <c r="D5" s="19">
        <v>4</v>
      </c>
    </row>
    <row r="6" spans="1:4" x14ac:dyDescent="0.35">
      <c r="A6" s="3">
        <v>5</v>
      </c>
      <c r="B6" s="3" t="s">
        <v>3</v>
      </c>
      <c r="C6" s="19" t="s">
        <v>69</v>
      </c>
      <c r="D6" s="19">
        <v>4</v>
      </c>
    </row>
    <row r="7" spans="1:4" x14ac:dyDescent="0.35">
      <c r="A7" s="3">
        <v>6</v>
      </c>
      <c r="B7" s="3" t="s">
        <v>4</v>
      </c>
      <c r="C7" s="19" t="s">
        <v>68</v>
      </c>
      <c r="D7" s="19">
        <v>4</v>
      </c>
    </row>
    <row r="8" spans="1:4" x14ac:dyDescent="0.35">
      <c r="A8" s="3">
        <v>7</v>
      </c>
      <c r="B8" s="3" t="s">
        <v>5</v>
      </c>
      <c r="C8" s="19" t="s">
        <v>70</v>
      </c>
      <c r="D8" s="19">
        <v>4</v>
      </c>
    </row>
    <row r="9" spans="1:4" x14ac:dyDescent="0.35">
      <c r="A9" s="3">
        <v>8</v>
      </c>
      <c r="B9" s="3" t="s">
        <v>6</v>
      </c>
      <c r="C9" s="19" t="s">
        <v>71</v>
      </c>
      <c r="D9" s="19">
        <v>4</v>
      </c>
    </row>
    <row r="10" spans="1:4" x14ac:dyDescent="0.35">
      <c r="A10" s="3">
        <v>9</v>
      </c>
      <c r="B10" s="3" t="s">
        <v>7</v>
      </c>
      <c r="C10" s="19" t="s">
        <v>72</v>
      </c>
      <c r="D10" s="19">
        <v>4</v>
      </c>
    </row>
    <row r="11" spans="1:4" x14ac:dyDescent="0.35">
      <c r="A11" s="3">
        <v>10</v>
      </c>
      <c r="B11" s="14" t="s">
        <v>125</v>
      </c>
      <c r="C11" s="19" t="s">
        <v>86</v>
      </c>
      <c r="D11" s="19">
        <v>4</v>
      </c>
    </row>
    <row r="12" spans="1:4" x14ac:dyDescent="0.35">
      <c r="A12" s="3">
        <v>11</v>
      </c>
      <c r="B12" s="7" t="s">
        <v>8</v>
      </c>
      <c r="C12" s="19" t="s">
        <v>73</v>
      </c>
      <c r="D12" s="19">
        <v>4</v>
      </c>
    </row>
    <row r="13" spans="1:4" x14ac:dyDescent="0.35">
      <c r="A13" s="14"/>
      <c r="B13" s="14"/>
      <c r="C13" s="19" t="s">
        <v>90</v>
      </c>
      <c r="D13" s="19">
        <v>44</v>
      </c>
    </row>
    <row r="15" spans="1:4" x14ac:dyDescent="0.35">
      <c r="B15" s="21" t="s">
        <v>124</v>
      </c>
    </row>
    <row r="16" spans="1:4" x14ac:dyDescent="0.35">
      <c r="B16" s="21" t="s">
        <v>92</v>
      </c>
    </row>
    <row r="17" spans="2:2" x14ac:dyDescent="0.35">
      <c r="B17" s="21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F5F5-E67B-49FE-AE19-94743E86ED69}">
  <dimension ref="A1:D17"/>
  <sheetViews>
    <sheetView workbookViewId="0">
      <selection activeCell="B2" sqref="B2"/>
    </sheetView>
  </sheetViews>
  <sheetFormatPr defaultRowHeight="14.5" x14ac:dyDescent="0.35"/>
  <cols>
    <col min="2" max="2" width="51.36328125" bestFit="1" customWidth="1"/>
    <col min="3" max="3" width="15" bestFit="1" customWidth="1"/>
  </cols>
  <sheetData>
    <row r="1" spans="1:4" x14ac:dyDescent="0.35">
      <c r="A1" s="1" t="s">
        <v>0</v>
      </c>
      <c r="B1" s="1" t="s">
        <v>98</v>
      </c>
      <c r="C1" s="16" t="s">
        <v>79</v>
      </c>
      <c r="D1" s="16" t="s">
        <v>91</v>
      </c>
    </row>
    <row r="2" spans="1:4" x14ac:dyDescent="0.35">
      <c r="A2" s="20">
        <v>1</v>
      </c>
      <c r="B2" s="17" t="s">
        <v>80</v>
      </c>
      <c r="C2" s="17" t="s">
        <v>82</v>
      </c>
      <c r="D2" s="19">
        <v>4</v>
      </c>
    </row>
    <row r="3" spans="1:4" x14ac:dyDescent="0.35">
      <c r="A3" s="20">
        <v>2</v>
      </c>
      <c r="B3" s="3" t="s">
        <v>9</v>
      </c>
      <c r="C3" s="17" t="s">
        <v>83</v>
      </c>
      <c r="D3" s="19">
        <v>4</v>
      </c>
    </row>
    <row r="4" spans="1:4" x14ac:dyDescent="0.35">
      <c r="A4" s="20">
        <v>3</v>
      </c>
      <c r="B4" s="3" t="s">
        <v>10</v>
      </c>
      <c r="C4" s="17" t="s">
        <v>84</v>
      </c>
      <c r="D4" s="19">
        <v>4</v>
      </c>
    </row>
    <row r="5" spans="1:4" x14ac:dyDescent="0.35">
      <c r="A5" s="20">
        <v>4</v>
      </c>
      <c r="B5" s="3" t="s">
        <v>81</v>
      </c>
      <c r="C5" s="17" t="s">
        <v>85</v>
      </c>
      <c r="D5" s="19">
        <v>4</v>
      </c>
    </row>
    <row r="6" spans="1:4" x14ac:dyDescent="0.35">
      <c r="A6" s="20">
        <v>5</v>
      </c>
      <c r="B6" s="3" t="s">
        <v>11</v>
      </c>
      <c r="C6" s="17" t="s">
        <v>67</v>
      </c>
      <c r="D6" s="19">
        <v>4</v>
      </c>
    </row>
    <row r="7" spans="1:4" x14ac:dyDescent="0.35">
      <c r="A7" s="20">
        <v>6</v>
      </c>
      <c r="B7" s="3" t="s">
        <v>12</v>
      </c>
      <c r="C7" s="17" t="s">
        <v>69</v>
      </c>
      <c r="D7" s="19">
        <v>4</v>
      </c>
    </row>
    <row r="8" spans="1:4" x14ac:dyDescent="0.35">
      <c r="A8" s="20">
        <v>7</v>
      </c>
      <c r="B8" s="3" t="s">
        <v>13</v>
      </c>
      <c r="C8" s="17" t="s">
        <v>68</v>
      </c>
      <c r="D8" s="19">
        <v>4</v>
      </c>
    </row>
    <row r="9" spans="1:4" x14ac:dyDescent="0.35">
      <c r="A9" s="20">
        <v>8</v>
      </c>
      <c r="B9" s="3" t="s">
        <v>14</v>
      </c>
      <c r="C9" s="17" t="s">
        <v>70</v>
      </c>
      <c r="D9" s="19">
        <v>4</v>
      </c>
    </row>
    <row r="10" spans="1:4" x14ac:dyDescent="0.35">
      <c r="A10" s="20">
        <v>9</v>
      </c>
      <c r="B10" s="3" t="s">
        <v>15</v>
      </c>
      <c r="C10" s="17" t="s">
        <v>71</v>
      </c>
      <c r="D10" s="19">
        <v>4</v>
      </c>
    </row>
    <row r="11" spans="1:4" x14ac:dyDescent="0.35">
      <c r="A11" s="20">
        <v>10</v>
      </c>
      <c r="B11" s="3" t="s">
        <v>16</v>
      </c>
      <c r="C11" s="17" t="s">
        <v>72</v>
      </c>
      <c r="D11" s="19">
        <v>4</v>
      </c>
    </row>
    <row r="12" spans="1:4" x14ac:dyDescent="0.35">
      <c r="A12" s="18">
        <v>11</v>
      </c>
      <c r="B12" s="8" t="s">
        <v>8</v>
      </c>
      <c r="C12" s="17" t="s">
        <v>73</v>
      </c>
      <c r="D12" s="19">
        <v>4</v>
      </c>
    </row>
    <row r="13" spans="1:4" x14ac:dyDescent="0.35">
      <c r="A13" s="14"/>
      <c r="B13" s="14"/>
      <c r="C13" s="17" t="s">
        <v>90</v>
      </c>
      <c r="D13" s="19">
        <f>SUM(D2:D12)</f>
        <v>44</v>
      </c>
    </row>
    <row r="14" spans="1:4" ht="22.5" x14ac:dyDescent="0.35">
      <c r="B14" s="22" t="s">
        <v>98</v>
      </c>
    </row>
    <row r="15" spans="1:4" x14ac:dyDescent="0.35">
      <c r="B15" s="21" t="s">
        <v>124</v>
      </c>
    </row>
    <row r="16" spans="1:4" x14ac:dyDescent="0.35">
      <c r="B16" s="21" t="s">
        <v>92</v>
      </c>
    </row>
    <row r="17" spans="2:2" x14ac:dyDescent="0.35">
      <c r="B17" s="21" t="s">
        <v>93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1434-A1EC-4C31-92D8-EA6A6C7D7175}">
  <dimension ref="A1:D17"/>
  <sheetViews>
    <sheetView workbookViewId="0">
      <selection activeCell="B3" sqref="B3"/>
    </sheetView>
  </sheetViews>
  <sheetFormatPr defaultRowHeight="14.5" x14ac:dyDescent="0.35"/>
  <cols>
    <col min="2" max="2" width="52.90625" bestFit="1" customWidth="1"/>
    <col min="3" max="3" width="12.7265625" bestFit="1" customWidth="1"/>
  </cols>
  <sheetData>
    <row r="1" spans="1:4" x14ac:dyDescent="0.35">
      <c r="A1" s="1" t="s">
        <v>0</v>
      </c>
      <c r="B1" s="1" t="s">
        <v>100</v>
      </c>
      <c r="C1" s="16" t="s">
        <v>79</v>
      </c>
      <c r="D1" s="16" t="s">
        <v>91</v>
      </c>
    </row>
    <row r="2" spans="1:4" x14ac:dyDescent="0.35">
      <c r="A2" s="20">
        <v>1</v>
      </c>
      <c r="B2" s="4" t="s">
        <v>17</v>
      </c>
      <c r="C2" s="19" t="s">
        <v>83</v>
      </c>
      <c r="D2" s="19">
        <v>4</v>
      </c>
    </row>
    <row r="3" spans="1:4" x14ac:dyDescent="0.35">
      <c r="A3" s="20">
        <v>2</v>
      </c>
      <c r="B3" s="17" t="s">
        <v>87</v>
      </c>
      <c r="C3" s="19" t="s">
        <v>84</v>
      </c>
      <c r="D3" s="19">
        <v>4</v>
      </c>
    </row>
    <row r="4" spans="1:4" x14ac:dyDescent="0.35">
      <c r="A4" s="20">
        <v>3</v>
      </c>
      <c r="B4" s="5" t="s">
        <v>18</v>
      </c>
      <c r="C4" s="19" t="s">
        <v>84</v>
      </c>
      <c r="D4" s="19">
        <v>4</v>
      </c>
    </row>
    <row r="5" spans="1:4" x14ac:dyDescent="0.35">
      <c r="A5" s="20">
        <v>4</v>
      </c>
      <c r="B5" s="5" t="s">
        <v>19</v>
      </c>
      <c r="C5" s="19" t="s">
        <v>82</v>
      </c>
      <c r="D5" s="19">
        <v>4</v>
      </c>
    </row>
    <row r="6" spans="1:4" x14ac:dyDescent="0.35">
      <c r="A6" s="20">
        <v>5</v>
      </c>
      <c r="B6" s="5" t="s">
        <v>20</v>
      </c>
      <c r="C6" s="19" t="s">
        <v>74</v>
      </c>
      <c r="D6" s="19">
        <v>4</v>
      </c>
    </row>
    <row r="7" spans="1:4" x14ac:dyDescent="0.35">
      <c r="A7" s="20">
        <v>6</v>
      </c>
      <c r="B7" s="5" t="s">
        <v>21</v>
      </c>
      <c r="C7" s="19" t="s">
        <v>67</v>
      </c>
      <c r="D7" s="19">
        <v>4</v>
      </c>
    </row>
    <row r="8" spans="1:4" x14ac:dyDescent="0.35">
      <c r="A8" s="29">
        <v>7</v>
      </c>
      <c r="B8" s="27" t="s">
        <v>88</v>
      </c>
      <c r="C8" s="28" t="s">
        <v>89</v>
      </c>
      <c r="D8" s="30">
        <v>4</v>
      </c>
    </row>
    <row r="9" spans="1:4" x14ac:dyDescent="0.35">
      <c r="A9" s="29"/>
      <c r="B9" s="27"/>
      <c r="C9" s="28"/>
      <c r="D9" s="30"/>
    </row>
    <row r="10" spans="1:4" ht="29" customHeight="1" x14ac:dyDescent="0.35">
      <c r="A10" s="29"/>
      <c r="B10" s="27"/>
      <c r="C10" s="28"/>
      <c r="D10" s="30"/>
    </row>
    <row r="11" spans="1:4" x14ac:dyDescent="0.35">
      <c r="A11" s="20">
        <v>8</v>
      </c>
      <c r="B11" s="6" t="s">
        <v>22</v>
      </c>
      <c r="C11" s="19" t="s">
        <v>72</v>
      </c>
      <c r="D11" s="19">
        <v>4</v>
      </c>
    </row>
    <row r="12" spans="1:4" x14ac:dyDescent="0.35">
      <c r="A12" s="18">
        <v>9</v>
      </c>
      <c r="B12" s="7" t="s">
        <v>8</v>
      </c>
      <c r="C12" s="19" t="s">
        <v>73</v>
      </c>
      <c r="D12" s="19">
        <v>4</v>
      </c>
    </row>
    <row r="13" spans="1:4" x14ac:dyDescent="0.35">
      <c r="A13" s="19"/>
      <c r="B13" s="17"/>
      <c r="C13" s="19" t="s">
        <v>90</v>
      </c>
      <c r="D13" s="19">
        <f>SUM(D2:D12)</f>
        <v>36</v>
      </c>
    </row>
    <row r="15" spans="1:4" x14ac:dyDescent="0.35">
      <c r="B15" s="21" t="s">
        <v>126</v>
      </c>
    </row>
    <row r="16" spans="1:4" x14ac:dyDescent="0.35">
      <c r="B16" s="21" t="s">
        <v>92</v>
      </c>
    </row>
    <row r="17" spans="2:2" x14ac:dyDescent="0.35">
      <c r="B17" s="21" t="s">
        <v>94</v>
      </c>
    </row>
  </sheetData>
  <mergeCells count="4">
    <mergeCell ref="B8:B10"/>
    <mergeCell ref="C8:C10"/>
    <mergeCell ref="A8:A10"/>
    <mergeCell ref="D8:D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DDC96-D0F6-4449-8EF7-31C1F0A1064A}">
  <dimension ref="A1:J18"/>
  <sheetViews>
    <sheetView topLeftCell="A4" workbookViewId="0">
      <selection activeCell="A15" sqref="A15"/>
    </sheetView>
  </sheetViews>
  <sheetFormatPr defaultRowHeight="14.5" x14ac:dyDescent="0.35"/>
  <cols>
    <col min="1" max="1" width="22.1796875" bestFit="1" customWidth="1"/>
    <col min="6" max="6" width="24.453125" bestFit="1" customWidth="1"/>
    <col min="7" max="7" width="42.08984375" bestFit="1" customWidth="1"/>
    <col min="9" max="9" width="17.453125" customWidth="1"/>
    <col min="10" max="10" width="16" bestFit="1" customWidth="1"/>
    <col min="11" max="11" width="11.90625" bestFit="1" customWidth="1"/>
    <col min="13" max="13" width="11.08984375" bestFit="1" customWidth="1"/>
    <col min="14" max="14" width="16" bestFit="1" customWidth="1"/>
  </cols>
  <sheetData>
    <row r="1" spans="1:10" x14ac:dyDescent="0.35">
      <c r="A1" s="10" t="s">
        <v>23</v>
      </c>
      <c r="B1" s="10" t="s">
        <v>24</v>
      </c>
    </row>
    <row r="2" spans="1:10" x14ac:dyDescent="0.35">
      <c r="A2" s="11" t="s">
        <v>25</v>
      </c>
      <c r="B2" s="11" t="s">
        <v>26</v>
      </c>
    </row>
    <row r="3" spans="1:10" x14ac:dyDescent="0.35">
      <c r="A3" s="11" t="s">
        <v>27</v>
      </c>
      <c r="B3" s="11" t="s">
        <v>26</v>
      </c>
    </row>
    <row r="4" spans="1:10" x14ac:dyDescent="0.35">
      <c r="A4" s="11" t="s">
        <v>28</v>
      </c>
      <c r="B4" s="11" t="s">
        <v>29</v>
      </c>
    </row>
    <row r="5" spans="1:10" x14ac:dyDescent="0.35">
      <c r="A5" s="11" t="s">
        <v>30</v>
      </c>
      <c r="B5" s="11" t="s">
        <v>31</v>
      </c>
    </row>
    <row r="6" spans="1:10" x14ac:dyDescent="0.35">
      <c r="A6" s="11" t="s">
        <v>32</v>
      </c>
      <c r="B6" s="11" t="s">
        <v>33</v>
      </c>
      <c r="F6" s="15" t="s">
        <v>122</v>
      </c>
      <c r="G6" s="15" t="s">
        <v>123</v>
      </c>
    </row>
    <row r="7" spans="1:10" x14ac:dyDescent="0.35">
      <c r="A7" s="11" t="s">
        <v>34</v>
      </c>
      <c r="B7" s="11" t="s">
        <v>35</v>
      </c>
      <c r="F7" s="24" t="s">
        <v>95</v>
      </c>
      <c r="G7" s="24" t="s">
        <v>96</v>
      </c>
    </row>
    <row r="8" spans="1:10" x14ac:dyDescent="0.35">
      <c r="A8" s="11" t="s">
        <v>36</v>
      </c>
      <c r="B8" s="11" t="s">
        <v>37</v>
      </c>
      <c r="F8" s="24" t="s">
        <v>114</v>
      </c>
      <c r="G8" s="25" t="s">
        <v>115</v>
      </c>
    </row>
    <row r="9" spans="1:10" x14ac:dyDescent="0.35">
      <c r="A9" s="11" t="s">
        <v>38</v>
      </c>
      <c r="B9" s="11" t="s">
        <v>39</v>
      </c>
      <c r="F9" s="25" t="s">
        <v>116</v>
      </c>
      <c r="G9" s="25" t="s">
        <v>97</v>
      </c>
    </row>
    <row r="10" spans="1:10" x14ac:dyDescent="0.35">
      <c r="A10" s="11" t="s">
        <v>40</v>
      </c>
      <c r="B10" s="11" t="s">
        <v>41</v>
      </c>
      <c r="F10" s="24" t="s">
        <v>117</v>
      </c>
      <c r="G10" s="25" t="s">
        <v>118</v>
      </c>
    </row>
    <row r="11" spans="1:10" x14ac:dyDescent="0.35">
      <c r="A11" s="11" t="s">
        <v>42</v>
      </c>
      <c r="B11" s="11" t="s">
        <v>43</v>
      </c>
      <c r="F11" s="25" t="s">
        <v>119</v>
      </c>
      <c r="G11" s="25" t="s">
        <v>120</v>
      </c>
    </row>
    <row r="12" spans="1:10" x14ac:dyDescent="0.35">
      <c r="A12" s="11" t="s">
        <v>44</v>
      </c>
      <c r="B12" s="11" t="s">
        <v>45</v>
      </c>
      <c r="F12" s="25" t="s">
        <v>121</v>
      </c>
      <c r="G12" s="25" t="s">
        <v>199</v>
      </c>
    </row>
    <row r="13" spans="1:10" x14ac:dyDescent="0.35">
      <c r="A13" s="11" t="s">
        <v>46</v>
      </c>
      <c r="B13" s="11" t="s">
        <v>47</v>
      </c>
      <c r="F13" s="23"/>
    </row>
    <row r="14" spans="1:10" x14ac:dyDescent="0.35">
      <c r="A14" s="11" t="s">
        <v>48</v>
      </c>
      <c r="B14" s="11" t="s">
        <v>49</v>
      </c>
      <c r="F14" s="15" t="s">
        <v>102</v>
      </c>
      <c r="G14" s="15" t="s">
        <v>104</v>
      </c>
      <c r="H14" s="15" t="s">
        <v>106</v>
      </c>
      <c r="I14" s="15" t="s">
        <v>108</v>
      </c>
      <c r="J14" s="15" t="s">
        <v>110</v>
      </c>
    </row>
    <row r="15" spans="1:10" x14ac:dyDescent="0.35">
      <c r="A15" s="11" t="s">
        <v>50</v>
      </c>
      <c r="B15" s="11" t="s">
        <v>51</v>
      </c>
      <c r="F15" s="14" t="s">
        <v>103</v>
      </c>
      <c r="G15" s="14" t="s">
        <v>105</v>
      </c>
      <c r="H15" s="14" t="s">
        <v>107</v>
      </c>
      <c r="I15" s="14" t="s">
        <v>109</v>
      </c>
      <c r="J15" s="14" t="s">
        <v>111</v>
      </c>
    </row>
    <row r="16" spans="1:10" x14ac:dyDescent="0.35">
      <c r="A16" s="11" t="s">
        <v>52</v>
      </c>
      <c r="B16" s="11" t="s">
        <v>53</v>
      </c>
      <c r="F16" s="14" t="s">
        <v>113</v>
      </c>
      <c r="G16" s="14"/>
      <c r="H16" s="14"/>
      <c r="I16" s="14" t="s">
        <v>112</v>
      </c>
      <c r="J16" s="14"/>
    </row>
    <row r="17" spans="1:10" ht="29" x14ac:dyDescent="0.35">
      <c r="A17" s="11" t="s">
        <v>54</v>
      </c>
      <c r="B17" s="12" t="s">
        <v>55</v>
      </c>
      <c r="F17" s="14"/>
      <c r="G17" s="14"/>
      <c r="H17" s="14"/>
      <c r="I17" s="14"/>
      <c r="J17" s="14"/>
    </row>
    <row r="18" spans="1:10" x14ac:dyDescent="0.35">
      <c r="A18" s="11" t="s">
        <v>56</v>
      </c>
      <c r="B18" s="11" t="s">
        <v>101</v>
      </c>
      <c r="F18" s="14"/>
      <c r="G18" s="14"/>
      <c r="H18" s="14"/>
      <c r="I18" s="14"/>
      <c r="J18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C583-1326-425C-952D-FBC770F82478}">
  <dimension ref="A1:C4"/>
  <sheetViews>
    <sheetView workbookViewId="0">
      <selection activeCell="C3" sqref="C3"/>
    </sheetView>
  </sheetViews>
  <sheetFormatPr defaultRowHeight="14.5" x14ac:dyDescent="0.35"/>
  <cols>
    <col min="1" max="1" width="13.90625" bestFit="1" customWidth="1"/>
    <col min="2" max="2" width="23" bestFit="1" customWidth="1"/>
    <col min="3" max="3" width="31.54296875" customWidth="1"/>
  </cols>
  <sheetData>
    <row r="1" spans="1:3" x14ac:dyDescent="0.35">
      <c r="A1" s="1" t="s">
        <v>57</v>
      </c>
      <c r="B1" s="1" t="s">
        <v>58</v>
      </c>
      <c r="C1" s="1" t="s">
        <v>59</v>
      </c>
    </row>
    <row r="2" spans="1:3" x14ac:dyDescent="0.35">
      <c r="A2" s="2" t="s">
        <v>60</v>
      </c>
      <c r="B2" s="2" t="s">
        <v>61</v>
      </c>
      <c r="C2" s="2"/>
    </row>
    <row r="3" spans="1:3" ht="29" x14ac:dyDescent="0.35">
      <c r="A3" s="2" t="s">
        <v>62</v>
      </c>
      <c r="B3" s="2" t="s">
        <v>63</v>
      </c>
      <c r="C3" s="9" t="s">
        <v>201</v>
      </c>
    </row>
    <row r="4" spans="1:3" ht="43.5" x14ac:dyDescent="0.35">
      <c r="A4" s="2" t="s">
        <v>64</v>
      </c>
      <c r="B4" s="2" t="s">
        <v>65</v>
      </c>
      <c r="C4" s="13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Training_calendar</vt:lpstr>
      <vt:lpstr>Course1</vt:lpstr>
      <vt:lpstr>Course2</vt:lpstr>
      <vt:lpstr>Course3</vt:lpstr>
      <vt:lpstr>software</vt:lpstr>
      <vt:lpstr>Cloud Lab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Saravanan P</dc:creator>
  <cp:keywords/>
  <dc:description/>
  <cp:lastModifiedBy>Saravanan P</cp:lastModifiedBy>
  <cp:revision/>
  <dcterms:created xsi:type="dcterms:W3CDTF">2026-01-01T12:02:02Z</dcterms:created>
  <dcterms:modified xsi:type="dcterms:W3CDTF">2026-08-03T07:16:40Z</dcterms:modified>
  <cp:category/>
  <cp:contentStatus/>
</cp:coreProperties>
</file>